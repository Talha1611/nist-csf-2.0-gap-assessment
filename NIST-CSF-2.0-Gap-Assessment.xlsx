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95fe793cd241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SF Assessment" sheetId="1" r:id="Rbf017ac7d91e4282"/>
    <x:sheet xmlns:r="http://schemas.openxmlformats.org/officeDocument/2006/relationships" name="Risk Summary" sheetId="2" r:id="Rcbb6c481013140cd"/>
    <x:sheet xmlns:r="http://schemas.openxmlformats.org/officeDocument/2006/relationships" name="Remediation Roadmap" sheetId="3" r:id="R819802c543a749b4"/>
    <x:sheet xmlns:r="http://schemas.openxmlformats.org/officeDocument/2006/relationships" name="Tier Assessment" sheetId="4" r:id="R7c03b3eb4c4c4034"/>
    <x:sheet xmlns:r="http://schemas.openxmlformats.org/officeDocument/2006/relationships" name="Methodology" sheetId="5" r:id="Ra08e253cea0843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  <x:top/>
    </x:border>
    <x:border>
      <x:top/>
    </x:border>
    <x:border>
      <x:right/>
      <x:top/>
    </x:border>
  </x:borders>
  <x:cellStyleXfs count="1">
    <x:xf numFmtId="0" fontId="0" fillId="0" borderId="0"/>
  </x:cellStyleXfs>
  <x:cellXfs count="1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16" xfId="0" applyNumberFormat="1" applyFont="1" applyFill="1" applyBorder="1" applyAlignment="1">
      <x:alignment horizontal="center" vertical="top" wrapText="1"/>
    </x:xf>
    <x:xf numFmtId="0" fontId="0" fillId="0" borderId="9" xfId="0" applyNumberFormat="1" applyFont="1" applyFill="1" applyBorder="1" applyAlignment="1">
      <x:alignment horizontal="center" vertical="top" wrapText="1"/>
    </x:xf>
    <x:xf numFmtId="0" fontId="0" fillId="0" borderId="12" xfId="0" applyNumberFormat="1" applyFont="1" applyFill="1" applyBorder="1" applyAlignment="1">
      <x:alignment horizontal="center" vertical="top" wrapText="1"/>
    </x:xf>
    <x:xf numFmtId="0" fontId="0" fillId="0" borderId="14" xfId="0" applyNumberFormat="1" applyFont="1" applyFill="1" applyBorder="1" applyAlignment="1">
      <x:alignment horizontal="center" vertical="top" wrapText="1"/>
    </x:xf>
    <x:xf numFmtId="0" fontId="0" fillId="0" borderId="17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8" xfId="0" applyNumberFormat="1" applyFont="1" applyFill="1" applyBorder="1" applyAlignment="1">
      <x:alignment horizontal="center" wrapText="1"/>
    </x:xf>
    <x:xf numFmtId="0" fontId="1" fillId="2" borderId="19" xfId="0" applyNumberFormat="1" applyFont="1" applyFill="1" applyBorder="1" applyAlignment="1">
      <x:alignment horizontal="center" wrapText="1"/>
    </x:xf>
    <x:xf numFmtId="0" fontId="1" fillId="2" borderId="20" xfId="0" applyNumberFormat="1" applyFont="1" applyFill="1" applyBorder="1" applyAlignment="1">
      <x:alignment horizontal="center" wrapText="1"/>
    </x:xf>
    <x:xf numFmtId="0" fontId="0" fillId="0" borderId="8" xfId="0" applyNumberFormat="1" applyFont="1" applyFill="1" applyBorder="1"/>
    <x:xf numFmtId="0" fontId="0" fillId="0" borderId="0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1" fillId="2" borderId="21" xfId="0" applyNumberFormat="1" applyFont="1" applyFill="1" applyBorder="1" applyAlignment="1">
      <x:alignment horizontal="center" wrapText="1"/>
    </x:xf>
    <x:xf numFmtId="0" fontId="1" fillId="2" borderId="22" xfId="0" applyNumberFormat="1" applyFont="1" applyFill="1" applyBorder="1" applyAlignment="1">
      <x:alignment horizontal="center" wrapText="1"/>
    </x:xf>
    <x:xf numFmtId="0" fontId="1" fillId="2" borderId="23" xfId="0" applyNumberFormat="1" applyFont="1" applyFill="1" applyBorder="1" applyAlignment="1">
      <x:alignment horizont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9" xfId="0" applyNumberFormat="1" applyFont="1" applyFill="1" applyBorder="1" applyAlignment="1">
      <x:alignment horizontal="center" wrapText="1"/>
    </x:xf>
    <x:xf numFmtId="0" fontId="0" fillId="0" borderId="11" xfId="0" applyNumberFormat="1" applyFont="1" applyFill="1" applyBorder="1" applyAlignment="1">
      <x:alignment horizontal="center" wrapText="1"/>
    </x:xf>
    <x:xf numFmtId="0" fontId="0" fillId="0" borderId="12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4" xfId="0" applyNumberFormat="1" applyFont="1" applyFill="1" applyBorder="1" applyAlignment="1">
      <x:alignment horizontal="center" wrapText="1"/>
    </x:xf>
    <x:xf numFmtId="0" fontId="0" fillId="0" borderId="16" xfId="0" applyNumberFormat="1" applyFont="1" applyFill="1" applyBorder="1" applyAlignment="1">
      <x:alignment horizontal="center" wrapText="1"/>
    </x:xf>
    <x:xf numFmtId="0" fontId="0" fillId="0" borderId="17" xfId="0" applyNumberFormat="1" applyFont="1" applyFill="1" applyBorder="1" applyAlignment="1">
      <x:alignment horizontal="center" wrapText="1"/>
    </x:xf>
    <x:xf numFmtId="0" fontId="0" fillId="0" borderId="18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3" xfId="0" applyNumberFormat="1" applyFont="1" applyFill="1" applyBorder="1"/>
    <x:xf numFmtId="0" fontId="0" fillId="2" borderId="18" xfId="0" applyNumberFormat="1" applyFont="1" applyFill="1" applyBorder="1"/>
    <x:xf numFmtId="0" fontId="0" fillId="2" borderId="20" xfId="0" applyNumberFormat="1" applyFont="1" applyFill="1" applyBorder="1"/>
    <x:xf numFmtId="0" fontId="1" fillId="2" borderId="18" xfId="0" applyNumberFormat="1" applyFont="1" applyFill="1" applyBorder="1"/>
    <x:xf numFmtId="0" fontId="1" fillId="2" borderId="20" xfId="0" applyNumberFormat="1" applyFont="1" applyFill="1" applyBorder="1"/>
    <x:xf numFmtId="0" fontId="1" fillId="2" borderId="18" xfId="0" applyNumberFormat="1" applyFont="1" applyFill="1" applyBorder="1" applyAlignment="1">
      <x:alignment horizontal="center"/>
    </x:xf>
    <x:xf numFmtId="0" fontId="1" fillId="2" borderId="20" xfId="0" applyNumberFormat="1" applyFont="1" applyFill="1" applyBorder="1" applyAlignment="1">
      <x:alignment horizontal="center"/>
    </x:xf>
    <x:xf numFmtId="0" fontId="0" fillId="2" borderId="21" xfId="0" applyNumberFormat="1" applyFont="1" applyFill="1" applyBorder="1"/>
    <x:xf numFmtId="0" fontId="0" fillId="2" borderId="23" xfId="0" applyNumberFormat="1" applyFont="1" applyFill="1" applyBorder="1"/>
    <x:xf numFmtId="0" fontId="1" fillId="2" borderId="21" xfId="0" applyNumberFormat="1" applyFont="1" applyFill="1" applyBorder="1"/>
    <x:xf numFmtId="0" fontId="1" fillId="2" borderId="23" xfId="0" applyNumberFormat="1" applyFont="1" applyFill="1" applyBorder="1"/>
    <x:xf numFmtId="0" fontId="1" fillId="2" borderId="21" xfId="0" applyNumberFormat="1" applyFont="1" applyFill="1" applyBorder="1" applyAlignment="1">
      <x:alignment horizontal="center"/>
    </x:xf>
    <x:xf numFmtId="0" fontId="1" fillId="2" borderId="23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18" xfId="0" applyNumberFormat="1" applyFont="1" applyFill="1" applyBorder="1" applyAlignment="1">
      <x:alignment horizontal="center" vertical="center" wrapText="1"/>
    </x:xf>
    <x:xf numFmtId="0" fontId="1" fillId="2" borderId="19" xfId="0" applyNumberFormat="1" applyFont="1" applyFill="1" applyBorder="1" applyAlignment="1">
      <x:alignment horizontal="center" vertical="center" wrapText="1"/>
    </x:xf>
    <x:xf numFmtId="0" fontId="1" fillId="2" borderId="20" xfId="0" applyNumberFormat="1" applyFont="1" applyFill="1" applyBorder="1" applyAlignment="1">
      <x:alignment horizontal="center" vertical="center" wrapText="1"/>
    </x:xf>
    <x:xf numFmtId="0" fontId="1" fillId="2" borderId="21" xfId="0" applyNumberFormat="1" applyFont="1" applyFill="1" applyBorder="1" applyAlignment="1">
      <x:alignment horizontal="center" vertical="center" wrapText="1"/>
    </x:xf>
    <x:xf numFmtId="0" fontId="1" fillId="2" borderId="22" xfId="0" applyNumberFormat="1" applyFont="1" applyFill="1" applyBorder="1" applyAlignment="1">
      <x:alignment horizontal="center" vertical="center" wrapText="1"/>
    </x:xf>
    <x:xf numFmtId="0" fontId="1" fillId="2" borderId="23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top" wrapText="1"/>
    </x:xf>
    <x:xf numFmtId="0" fontId="0" fillId="0" borderId="10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horizontal="center" vertical="top" wrapText="1"/>
    </x:xf>
    <x:xf numFmtId="0" fontId="0" fillId="0" borderId="15" xfId="0" applyNumberFormat="1" applyFont="1" applyFill="1" applyBorder="1" applyAlignment="1">
      <x:alignment horizontal="center"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15" xfId="0" applyNumberFormat="1" applyFont="1" applyFill="1" applyBorder="1" applyAlignment="1">
      <x:alignment vertical="top" wrapText="1"/>
    </x:xf>
    <x:xf numFmtId="0" fontId="2" fillId="0" borderId="16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8"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e51b0a6ce4416a" /><Relationship Type="http://schemas.openxmlformats.org/officeDocument/2006/relationships/theme" Target="/xl/theme/theme1.xml" Id="R9ad53bdab5b2482a" /><Relationship Type="http://schemas.openxmlformats.org/officeDocument/2006/relationships/sharedStrings" Target="/xl/sharedStrings.xml" Id="Ra715422dd8df4db3" /><Relationship Type="http://schemas.openxmlformats.org/officeDocument/2006/relationships/worksheet" Target="/xl/worksheets/sheet1.xml" Id="Rbf017ac7d91e4282" /><Relationship Type="http://schemas.openxmlformats.org/officeDocument/2006/relationships/worksheet" Target="/xl/worksheets/sheet2.xml" Id="Rcbb6c481013140cd" /><Relationship Type="http://schemas.openxmlformats.org/officeDocument/2006/relationships/worksheet" Target="/xl/worksheets/sheet3.xml" Id="R819802c543a749b4" /><Relationship Type="http://schemas.openxmlformats.org/officeDocument/2006/relationships/worksheet" Target="/xl/worksheets/sheet4.xml" Id="R7c03b3eb4c4c4034" /><Relationship Type="http://schemas.openxmlformats.org/officeDocument/2006/relationships/worksheet" Target="/xl/worksheets/sheet5.xml" Id="Ra08e253cea08435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309cc79af5a45b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Findings by Risk Rating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'Risk Summary'!$H$2:$H$4</c:f>
              <c:strCache>
                <c:ptCount val="0"/>
              </c:strCache>
            </c:strRef>
          </c:cat>
          <c:val>
            <c:numRef>
              <c:f>'Risk Summary'!$I$2:$I$4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5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309cc79af5a45b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SFAssessmentTable" displayName="CSFAssessmentTable" ref="A1:M9" headerRowCount="1" totalsRowCount="0" totalsRowShown="0">
  <x:tableColumns count="13">
    <x:tableColumn id="1" name="CSF Function"/>
    <x:tableColumn id="2" name="CSF Outcome"/>
    <x:tableColumn id="3" name="Assessment Area"/>
    <x:tableColumn id="4" name="Simulated Evidence"/>
    <x:tableColumn id="5" name="Current State"/>
    <x:tableColumn id="6" name="Gap"/>
    <x:tableColumn id="7" name="Risk Scenario"/>
    <x:tableColumn id="8" name="Likelihood"/>
    <x:tableColumn id="9" name="Impact"/>
    <x:tableColumn id="10" name="Risk Rating"/>
    <x:tableColumn id="11" name="Target State"/>
    <x:tableColumn id="12" name="Recommended Action"/>
    <x:tableColumn id="13" name="Priori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mediationTable" displayName="RemediationTable" ref="A1:G9" headerRowCount="1" totalsRowCount="0" totalsRowShown="0">
  <x:tableColumns count="7">
    <x:tableColumn id="1" name="Priority"/>
    <x:tableColumn id="2" name="CSF Outcome"/>
    <x:tableColumn id="3" name="Remediation Initiative"/>
    <x:tableColumn id="4" name="Suggested Owner"/>
    <x:tableColumn id="5" name="Target Timing"/>
    <x:tableColumn id="6" name="Status"/>
    <x:tableColumn id="7" name="Completion 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7a9f5f5efa471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688d71583bf444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ea5b24011a4a38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27" hidden="0" customWidth="1"/>
    <x:col min="4" max="4" width="45" hidden="0" customWidth="1"/>
    <x:col min="5" max="5" width="43" hidden="0" customWidth="1"/>
    <x:col min="6" max="6" width="43" hidden="0" customWidth="1"/>
    <x:col min="7" max="7" width="47" hidden="0" customWidth="1"/>
    <x:col min="8" max="8" width="12" hidden="0" customWidth="1"/>
    <x:col min="9" max="9" width="12" hidden="0" customWidth="1"/>
    <x:col min="10" max="10" width="13" hidden="0" customWidth="1"/>
    <x:col min="11" max="11" width="45" hidden="0" customWidth="1"/>
    <x:col min="12" max="12" width="50" hidden="0" customWidth="1"/>
    <x:col min="13" max="13" width="12" hidden="0" customWidth="1"/>
  </x:cols>
  <x:sheetData>
    <x:row r="1" ht="36" customHeight="1">
      <x:c r="A1" s="13" t="str">
        <x:v>CSF Function</x:v>
      </x:c>
      <x:c r="B1" s="14" t="str">
        <x:v>CSF Outcome</x:v>
      </x:c>
      <x:c r="C1" s="14" t="str">
        <x:v>Assessment Area</x:v>
      </x:c>
      <x:c r="D1" s="14" t="str">
        <x:v>Simulated Evidence</x:v>
      </x:c>
      <x:c r="E1" s="14" t="str">
        <x:v>Current State</x:v>
      </x:c>
      <x:c r="F1" s="14" t="str">
        <x:v>Gap</x:v>
      </x:c>
      <x:c r="G1" s="14" t="str">
        <x:v>Risk Scenario</x:v>
      </x:c>
      <x:c r="H1" s="14" t="str">
        <x:v>Likelihood</x:v>
      </x:c>
      <x:c r="I1" s="14" t="str">
        <x:v>Impact</x:v>
      </x:c>
      <x:c r="J1" s="14" t="str">
        <x:v>Risk Rating</x:v>
      </x:c>
      <x:c r="K1" s="14" t="str">
        <x:v>Target State</x:v>
      </x:c>
      <x:c r="L1" s="14" t="str">
        <x:v>Recommended Action</x:v>
      </x:c>
      <x:c r="M1" s="15" t="str">
        <x:v>Priority</x:v>
      </x:c>
    </x:row>
    <x:row r="2" ht="78" customHeight="1">
      <x:c r="A2" s="34" t="str">
        <x:v>Identify</x:v>
      </x:c>
      <x:c r="B2" s="32" t="str">
        <x:v>ID.AM-01</x:v>
      </x:c>
      <x:c r="C2" s="32" t="str">
        <x:v>Hardware Asset Management</x:v>
      </x:c>
      <x:c r="D2" s="32" t="str">
        <x:v>Excel spreadsheet tracks laptops and servers; several new laptops are missing; network devices are recorded inconsistently; no formal reconciliation process.</x:v>
      </x:c>
      <x:c r="E2" s="32" t="str">
        <x:v>Hardware inventory is maintained manually in Excel for laptops and servers.</x:v>
      </x:c>
      <x:c r="F2" s="32" t="str">
        <x:v>Inventory is incomplete and inconsistently maintained, with no formal reconciliation process.</x:v>
      </x:c>
      <x:c r="G2" s="32" t="str">
        <x:v>A laptop could be lost or stolen but not accurately recorded, delaying identification and appropriate security actions.</x:v>
      </x:c>
      <x:c r="H2" s="44" t="str">
        <x:v>Medium</x:v>
      </x:c>
      <x:c r="I2" s="44" t="str">
        <x:v>Medium</x:v>
      </x:c>
      <x:c r="J2" s="44" t="str">
        <x:v>Medium</x:v>
      </x:c>
      <x:c r="K2" s="32" t="str">
        <x:v>Maintain a complete, accurate, and regularly updated inventory of organizational hardware.</x:v>
      </x:c>
      <x:c r="L2" s="32" t="str">
        <x:v>Establish a centralized asset-management process and periodic reconciliation; consider automated discovery where appropriate.</x:v>
      </x:c>
      <x:c r="M2" s="48" t="str">
        <x:v>Medium</x:v>
      </x:c>
    </x:row>
    <x:row r="3" ht="78" customHeight="1">
      <x:c r="A3" s="34" t="str">
        <x:v>Protect</x:v>
      </x:c>
      <x:c r="B3" s="32" t="str">
        <x:v>PR.AA-03</x:v>
      </x:c>
      <x:c r="C3" s="32" t="str">
        <x:v>Authentication</x:v>
      </x:c>
      <x:c r="D3" s="32" t="str">
        <x:v>All employees use username/password authentication; MFA protects Microsoft 365, VPN, and IT administrator access; three older internal business applications use passwords only.</x:v>
      </x:c>
      <x:c r="E3" s="32" t="str">
        <x:v>Strong authentication is used for key services, while three legacy applications continue to rely on passwords only.</x:v>
      </x:c>
      <x:c r="F3" s="32" t="str">
        <x:v>Authentication strength for the three legacy applications may not be appropriate to their risk.</x:v>
      </x:c>
      <x:c r="G3" s="32" t="str">
        <x:v>Stolen or compromised credentials could be used to gain unauthorized access to a legacy application.</x:v>
      </x:c>
      <x:c r="H3" s="44" t="str">
        <x:v>Medium</x:v>
      </x:c>
      <x:c r="I3" s="44" t="str">
        <x:v>Medium</x:v>
      </x:c>
      <x:c r="J3" s="44" t="str">
        <x:v>Medium</x:v>
      </x:c>
      <x:c r="K3" s="32" t="str">
        <x:v>Authentication methods are appropriate to the risk of the systems and resources being accessed.</x:v>
      </x:c>
      <x:c r="L3" s="32" t="str">
        <x:v>Assess the legacy applications' authentication requirements and implement stronger authentication where warranted; document risk and compensating controls where technical limitations exist.</x:v>
      </x:c>
      <x:c r="M3" s="48" t="str">
        <x:v>Medium</x:v>
      </x:c>
    </x:row>
    <x:row r="4" ht="78" customHeight="1">
      <x:c r="A4" s="34" t="str">
        <x:v>Protect</x:v>
      </x:c>
      <x:c r="B4" s="32" t="str">
        <x:v>PR.AA-05</x:v>
      </x:c>
      <x:c r="C4" s="32" t="str">
        <x:v>Access Authorization &amp; Privileged Access</x:v>
      </x:c>
      <x:c r="D4" s="32" t="str">
        <x:v>There are 14 Domain Admin or other highly privileged accounts; IT reviews access when employees leave or change departments; no scheduled access review or periodic certification evidence exists.</x:v>
      </x:c>
      <x:c r="E4" s="32" t="str">
        <x:v>Privileged access is reviewed following employment or departmental changes, but there is no formal periodic certification.</x:v>
      </x:c>
      <x:c r="F4" s="32" t="str">
        <x:v>Privileged permissions may remain assigned without periodic verification that access is still appropriate and follows least privilege.</x:v>
      </x:c>
      <x:c r="G4" s="32" t="str">
        <x:v>A user may retain unnecessary privileged access, increasing the potential impact of credential compromise or misuse.</x:v>
      </x:c>
      <x:c r="H4" s="44" t="str">
        <x:v>Medium</x:v>
      </x:c>
      <x:c r="I4" s="44" t="str">
        <x:v>High</x:v>
      </x:c>
      <x:c r="J4" s="44" t="str">
        <x:v>High</x:v>
      </x:c>
      <x:c r="K4" s="32" t="str">
        <x:v>Privileged access is appropriately assigned, periodically reviewed, and supported by retained review evidence.</x:v>
      </x:c>
      <x:c r="L4" s="32" t="str">
        <x:v>Establish formal periodic privileged-access reviews; inventory privileged accounts, require appropriate owner certification, revoke unnecessary access, retain evidence, and incorporate least privilege and separation-of-duties considerations.</x:v>
      </x:c>
      <x:c r="M4" s="48" t="str">
        <x:v>High</x:v>
      </x:c>
    </x:row>
    <x:row r="5" ht="78" customHeight="1">
      <x:c r="A5" s="34" t="str">
        <x:v>Protect</x:v>
      </x:c>
      <x:c r="B5" s="32" t="str">
        <x:v>PR.DS-11</x:v>
      </x:c>
      <x:c r="C5" s="32" t="str">
        <x:v>Backup Management &amp; Restoration Testing</x:v>
      </x:c>
      <x:c r="D5" s="32" t="str">
        <x:v>Critical servers are backed up nightly with 30-day retention; individual files have been restored successfully; no documented testing schedule exists; the last full restoration test was approximately 18 months ago.</x:v>
      </x:c>
      <x:c r="E5" s="32" t="str">
        <x:v>Backups are created regularly and individual file restoration has been demonstrated, but full restoration testing is not performed on a defined schedule.</x:v>
      </x:c>
      <x:c r="F5" s="32" t="str">
        <x:v>The organization cannot routinely verify that backups can restore critical systems successfully when needed.</x:v>
      </x:c>
      <x:c r="G5" s="32" t="str">
        <x:v>During an outage requiring full restoration, backups may fail or restore incompletely, resulting in prolonged downtime or data loss.</x:v>
      </x:c>
      <x:c r="H5" s="44" t="str">
        <x:v>Medium</x:v>
      </x:c>
      <x:c r="I5" s="44" t="str">
        <x:v>High</x:v>
      </x:c>
      <x:c r="J5" s="44" t="str">
        <x:v>High</x:v>
      </x:c>
      <x:c r="K5" s="32" t="str">
        <x:v>Backups are periodically tested according to a documented, risk-based schedule to verify integrity and recoverability.</x:v>
      </x:c>
      <x:c r="L5" s="32" t="str">
        <x:v>Establish a risk-based backup-testing schedule, perform restoration tests, document results, remediate identified issues, and retain evidence of testing.</x:v>
      </x:c>
      <x:c r="M5" s="48" t="str">
        <x:v>High</x:v>
      </x:c>
    </x:row>
    <x:row r="6" ht="78" customHeight="1">
      <x:c r="A6" s="34" t="str">
        <x:v>Identify</x:v>
      </x:c>
      <x:c r="B6" s="32" t="str">
        <x:v>ID.RA-01</x:v>
      </x:c>
      <x:c r="C6" s="32" t="str">
        <x:v>Vulnerability Management</x:v>
      </x:c>
      <x:c r="D6" s="32" t="str">
        <x:v>Vulnerability scans are performed monthly; critical findings are generally emailed to administrators; no centralized vulnerability register exists; remediation deadlines are not formally defined; some findings recur.</x:v>
      </x:c>
      <x:c r="E6" s="32" t="str">
        <x:v>Vulnerabilities are identified through monthly scans, but tracking, ownership, and follow-up are decentralized.</x:v>
      </x:c>
      <x:c r="F6" s="32" t="str">
        <x:v>There is no centralized mechanism to consistently record and track identified vulnerabilities through resolution; remediation expectations are also not formally defined.</x:v>
      </x:c>
      <x:c r="G6" s="32" t="str">
        <x:v>An identified vulnerability may not be properly recorded, assigned, monitored, or resolved and could remain exposed to exploitation.</x:v>
      </x:c>
      <x:c r="H6" s="44" t="str">
        <x:v>Medium</x:v>
      </x:c>
      <x:c r="I6" s="44" t="str">
        <x:v>High</x:v>
      </x:c>
      <x:c r="J6" s="44" t="str">
        <x:v>High</x:v>
      </x:c>
      <x:c r="K6" s="32" t="str">
        <x:v>Vulnerabilities are systematically identified, validated, and recorded in a centralized tracking process.</x:v>
      </x:c>
      <x:c r="L6" s="32" t="str">
        <x:v>Establish centralized vulnerability tracking with affected assets, severity, owner, status, and dates; define risk-based remediation timelines and escalation; investigate recurring findings.</x:v>
      </x:c>
      <x:c r="M6" s="48" t="str">
        <x:v>High</x:v>
      </x:c>
    </x:row>
    <x:row r="7" ht="78" customHeight="1">
      <x:c r="A7" s="34" t="str">
        <x:v>Detect</x:v>
      </x:c>
      <x:c r="B7" s="32" t="str">
        <x:v>DE.CM-01</x:v>
      </x:c>
      <x:c r="C7" s="32" t="str">
        <x:v>Network Monitoring</x:v>
      </x:c>
      <x:c r="D7" s="32" t="str">
        <x:v>Firewalls generate logs and Microsoft Defender is deployed on endpoints; logs are generally reviewed after someone reports a problem; there is no formal continuous network-monitoring process.</x:v>
      </x:c>
      <x:c r="E7" s="32" t="str">
        <x:v>Security telemetry exists, but monitoring is primarily reactive rather than an established proactive process.</x:v>
      </x:c>
      <x:c r="F7" s="32" t="str">
        <x:v>The organization lacks a formal ongoing process for monitoring networks and network services for potentially adverse events.</x:v>
      </x:c>
      <x:c r="G7" s="32" t="str">
        <x:v>Unauthorized or malicious network activity may remain undetected because monitoring is primarily reactive, increasing potential dwell time and impact.</x:v>
      </x:c>
      <x:c r="H7" s="44" t="str">
        <x:v>Medium</x:v>
      </x:c>
      <x:c r="I7" s="44" t="str">
        <x:v>High</x:v>
      </x:c>
      <x:c r="J7" s="44" t="str">
        <x:v>High</x:v>
      </x:c>
      <x:c r="K7" s="32" t="str">
        <x:v>Networks and network services are monitored on an ongoing basis to identify potentially adverse events.</x:v>
      </x:c>
      <x:c r="L7" s="32" t="str">
        <x:v>Establish a formal monitoring process with appropriate monitoring capabilities, defined responsibilities, alert investigation, and escalation procedures.</x:v>
      </x:c>
      <x:c r="M7" s="48" t="str">
        <x:v>High</x:v>
      </x:c>
    </x:row>
    <x:row r="8" ht="78" customHeight="1">
      <x:c r="A8" s="34" t="str">
        <x:v>Govern</x:v>
      </x:c>
      <x:c r="B8" s="32" t="str">
        <x:v>GV.PO-02</x:v>
      </x:c>
      <x:c r="C8" s="32" t="str">
        <x:v>Cybersecurity Policy Maintenance</x:v>
      </x:c>
      <x:c r="D8" s="32" t="str">
        <x:v>The Information Security Policy was approved four years ago and has not undergone a formal review despite cloud adoption, remote work, and new applications.</x:v>
      </x:c>
      <x:c r="E8" s="32" t="str">
        <x:v>An approved cybersecurity policy exists, but it has not been formally reviewed or updated in four years.</x:v>
      </x:c>
      <x:c r="F8" s="32" t="str">
        <x:v>The policy may no longer reflect changes in technology, threats, requirements, and organizational operations.</x:v>
      </x:c>
      <x:c r="G8" s="32" t="str">
        <x:v>Outdated policy requirements may lead to inconsistent or insufficient cybersecurity practices for the organization's current environment.</x:v>
      </x:c>
      <x:c r="H8" s="44" t="str">
        <x:v>Medium</x:v>
      </x:c>
      <x:c r="I8" s="44" t="str">
        <x:v>Medium</x:v>
      </x:c>
      <x:c r="J8" s="44" t="str">
        <x:v>Medium</x:v>
      </x:c>
      <x:c r="K8" s="32" t="str">
        <x:v>Cybersecurity policy is reviewed, updated, communicated, and enforced as requirements, threats, technology, and organizational needs change.</x:v>
      </x:c>
      <x:c r="L8" s="32" t="str">
        <x:v>Establish formal policy ownership and a risk-appropriate review process; review the current environment, update the policy, obtain approval, communicate changes, and retain review evidence.</x:v>
      </x:c>
      <x:c r="M8" s="48" t="str">
        <x:v>Medium</x:v>
      </x:c>
    </x:row>
    <x:row r="9" ht="78" customHeight="1">
      <x:c r="A9" s="36" t="str">
        <x:v>Identify</x:v>
      </x:c>
      <x:c r="B9" s="37" t="str">
        <x:v>ID.IM-04</x:v>
      </x:c>
      <x:c r="C9" s="37" t="str">
        <x:v>Incident Response Planning</x:v>
      </x:c>
      <x:c r="D9" s="37" t="str">
        <x:v>A 12-page incident response plan exists and the IT Manager is designated incident lead; the plan has never been formally exercised; several contacts are outdated; cloud-provider responsibilities are unclear.</x:v>
      </x:c>
      <x:c r="E9" s="37" t="str">
        <x:v>An incident response plan and incident lead exist, but the plan has not been exercised and contains outdated or unclear information.</x:v>
      </x:c>
      <x:c r="F9" s="37" t="str">
        <x:v>The organization has not validated the plan through exercises, contact information is stale, and cloud-provider responsibilities are unclear.</x:v>
      </x:c>
      <x:c r="G9" s="37" t="str">
        <x:v>During an incident, outdated contacts and unclear responsibilities could cause delays, confusion, and ineffective coordination, increasing incident impact.</x:v>
      </x:c>
      <x:c r="H9" s="45" t="str">
        <x:v>Medium</x:v>
      </x:c>
      <x:c r="I9" s="45" t="str">
        <x:v>High</x:v>
      </x:c>
      <x:c r="J9" s="45" t="str">
        <x:v>High</x:v>
      </x:c>
      <x:c r="K9" s="37" t="str">
        <x:v>Incident response plans are current, communicated, maintained, exercised, and improved, with clear internal and cloud-provider responsibilities.</x:v>
      </x:c>
      <x:c r="L9" s="37" t="str">
        <x:v>Conduct incident-response exercises, update contacts, assign and communicate internal responsibilities, define cloud-provider responsibilities, and incorporate lessons learned into plan updates.</x:v>
      </x:c>
      <x:c r="M9" s="49" t="str">
        <x:v>High</x:v>
      </x:c>
    </x:row>
  </x:sheetData>
  <x:conditionalFormatting sqref="J2:J9">
    <x:cfRule type="expression" dxfId="0" priority="1">
      <x:formula>J2="High"</x:formula>
    </x:cfRule>
    <x:cfRule type="expression" dxfId="1" priority="2">
      <x:formula>J2="Medium"</x:formula>
    </x:cfRule>
    <x:cfRule type="expression" dxfId="2" priority="3">
      <x:formula>J2="Low"</x:formula>
    </x:cfRule>
  </x:conditionalFormatting>
  <x:conditionalFormatting sqref="M2:M9">
    <x:cfRule type="expression" dxfId="3" priority="4">
      <x:formula>M2="High"</x:formula>
    </x:cfRule>
    <x:cfRule type="expression" dxfId="4" priority="5">
      <x:formula>M2="Medium"</x:formula>
    </x:cfRule>
    <x:cfRule type="expression" dxfId="5" priority="6">
      <x:formula>M2="Low"</x:formula>
    </x:cfRule>
  </x:conditionalFormatting>
  <x:dataValidations count="4">
    <x:dataValidation type="list" sqref="H2:H9">
      <x:formula1>"Low,Medium,High"</x:formula1>
    </x:dataValidation>
    <x:dataValidation type="list" sqref="I2:I9">
      <x:formula1>"Low,Medium,High"</x:formula1>
    </x:dataValidation>
    <x:dataValidation type="list" sqref="J2:J9">
      <x:formula1>"Low,Medium,High"</x:formula1>
    </x:dataValidation>
    <x:dataValidation type="list" sqref="M2:M9">
      <x:formula1>"Low,Medium,High"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7a9f5f5efa471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4" hidden="0" customWidth="1"/>
    <x:col min="4" max="4" width="14" hidden="0" customWidth="1"/>
    <x:col min="5" max="5" width="16" hidden="0" customWidth="1"/>
    <x:col min="6" max="6" width="14" hidden="0" customWidth="1"/>
    <x:col min="8" max="8" width="24" hidden="0" customWidth="1"/>
    <x:col min="9" max="9" width="12" hidden="0" customWidth="1"/>
  </x:cols>
  <x:sheetData>
    <x:row r="1">
      <x:c r="A1" s="56" t="str">
        <x:v>CSF Outcome</x:v>
      </x:c>
      <x:c r="B1" s="57" t="str">
        <x:v>Assessment Area</x:v>
      </x:c>
      <x:c r="C1" s="57" t="str">
        <x:v>Likelihood</x:v>
      </x:c>
      <x:c r="D1" s="57" t="str">
        <x:v>Impact</x:v>
      </x:c>
      <x:c r="E1" s="57" t="str">
        <x:v>Risk Rating</x:v>
      </x:c>
      <x:c r="F1" s="58" t="str">
        <x:v>Priority</x:v>
      </x:c>
      <x:c r="H1" s="99" t="str">
        <x:v>Portfolio Risk Summary</x:v>
      </x:c>
      <x:c r="I1" s="100" t="str">
        <x:v>Count</x:v>
      </x:c>
    </x:row>
    <x:row r="2">
      <x:c r="A2" s="73" t="str">
        <x:v>ID.AM-01</x:v>
      </x:c>
      <x:c r="B2" s="30" t="str">
        <x:v>Hardware Asset Management</x:v>
      </x:c>
      <x:c r="C2" s="83" t="str">
        <x:v>Medium</x:v>
      </x:c>
      <x:c r="D2" s="83" t="str">
        <x:v>Medium</x:v>
      </x:c>
      <x:c r="E2" s="83" t="str">
        <x:v>Medium</x:v>
      </x:c>
      <x:c r="F2" s="84" t="str">
        <x:v>Medium</x:v>
      </x:c>
      <x:c r="H2" s="59" t="str">
        <x:v>High</x:v>
      </x:c>
      <x:c r="I2" s="61" t="n">
        <x:f>COUNTIF(E2:E9,"High")</x:f>
        <x:v>5</x:v>
      </x:c>
    </x:row>
    <x:row r="3">
      <x:c r="A3" s="73" t="str">
        <x:v>PR.AA-03</x:v>
      </x:c>
      <x:c r="B3" s="30" t="str">
        <x:v>Authentication</x:v>
      </x:c>
      <x:c r="C3" s="83" t="str">
        <x:v>Medium</x:v>
      </x:c>
      <x:c r="D3" s="83" t="str">
        <x:v>Medium</x:v>
      </x:c>
      <x:c r="E3" s="83" t="str">
        <x:v>Medium</x:v>
      </x:c>
      <x:c r="F3" s="84" t="str">
        <x:v>Medium</x:v>
      </x:c>
      <x:c r="H3" s="59" t="str">
        <x:v>Medium</x:v>
      </x:c>
      <x:c r="I3" s="61" t="n">
        <x:f>COUNTIF(E2:E9,"Medium")</x:f>
        <x:v>3</x:v>
      </x:c>
    </x:row>
    <x:row r="4">
      <x:c r="A4" s="73" t="str">
        <x:v>PR.AA-05</x:v>
      </x:c>
      <x:c r="B4" s="30" t="str">
        <x:v>Access Authorization &amp; Privileged Access</x:v>
      </x:c>
      <x:c r="C4" s="83" t="str">
        <x:v>Medium</x:v>
      </x:c>
      <x:c r="D4" s="83" t="str">
        <x:v>High</x:v>
      </x:c>
      <x:c r="E4" s="83" t="str">
        <x:v>High</x:v>
      </x:c>
      <x:c r="F4" s="84" t="str">
        <x:v>High</x:v>
      </x:c>
      <x:c r="H4" s="62" t="str">
        <x:v>Low</x:v>
      </x:c>
      <x:c r="I4" s="64" t="n">
        <x:f>COUNTIF(E2:E9,"Low")</x:f>
        <x:v>0</x:v>
      </x:c>
    </x:row>
    <x:row r="5">
      <x:c r="A5" s="73" t="str">
        <x:v>PR.DS-11</x:v>
      </x:c>
      <x:c r="B5" s="30" t="str">
        <x:v>Backup Management &amp; Restoration Testing</x:v>
      </x:c>
      <x:c r="C5" s="83" t="str">
        <x:v>Medium</x:v>
      </x:c>
      <x:c r="D5" s="83" t="str">
        <x:v>High</x:v>
      </x:c>
      <x:c r="E5" s="83" t="str">
        <x:v>High</x:v>
      </x:c>
      <x:c r="F5" s="84" t="str">
        <x:v>High</x:v>
      </x:c>
    </x:row>
    <x:row r="6">
      <x:c r="A6" s="73" t="str">
        <x:v>ID.RA-01</x:v>
      </x:c>
      <x:c r="B6" s="30" t="str">
        <x:v>Vulnerability Management</x:v>
      </x:c>
      <x:c r="C6" s="83" t="str">
        <x:v>Medium</x:v>
      </x:c>
      <x:c r="D6" s="83" t="str">
        <x:v>High</x:v>
      </x:c>
      <x:c r="E6" s="83" t="str">
        <x:v>High</x:v>
      </x:c>
      <x:c r="F6" s="84" t="str">
        <x:v>High</x:v>
      </x:c>
    </x:row>
    <x:row r="7">
      <x:c r="A7" s="73" t="str">
        <x:v>DE.CM-01</x:v>
      </x:c>
      <x:c r="B7" s="30" t="str">
        <x:v>Network Monitoring</x:v>
      </x:c>
      <x:c r="C7" s="83" t="str">
        <x:v>Medium</x:v>
      </x:c>
      <x:c r="D7" s="83" t="str">
        <x:v>High</x:v>
      </x:c>
      <x:c r="E7" s="83" t="str">
        <x:v>High</x:v>
      </x:c>
      <x:c r="F7" s="84" t="str">
        <x:v>High</x:v>
      </x:c>
    </x:row>
    <x:row r="8">
      <x:c r="A8" s="73" t="str">
        <x:v>GV.PO-02</x:v>
      </x:c>
      <x:c r="B8" s="30" t="str">
        <x:v>Cybersecurity Policy Maintenance</x:v>
      </x:c>
      <x:c r="C8" s="83" t="str">
        <x:v>Medium</x:v>
      </x:c>
      <x:c r="D8" s="83" t="str">
        <x:v>Medium</x:v>
      </x:c>
      <x:c r="E8" s="83" t="str">
        <x:v>Medium</x:v>
      </x:c>
      <x:c r="F8" s="84" t="str">
        <x:v>Medium</x:v>
      </x:c>
    </x:row>
    <x:row r="9">
      <x:c r="A9" s="75" t="str">
        <x:v>ID.IM-04</x:v>
      </x:c>
      <x:c r="B9" s="76" t="str">
        <x:v>Incident Response Planning</x:v>
      </x:c>
      <x:c r="C9" s="85" t="str">
        <x:v>Medium</x:v>
      </x:c>
      <x:c r="D9" s="85" t="str">
        <x:v>High</x:v>
      </x:c>
      <x:c r="E9" s="85" t="str">
        <x:v>High</x:v>
      </x:c>
      <x:c r="F9" s="86" t="str">
        <x:v>High</x:v>
      </x:c>
    </x:row>
  </x:sheetData>
  <x:pageMargins left="0.7" right="0.7" top="0.75" bottom="0.75" header="0.3" footer="0.3"/>
  <x:drawing xmlns:r="http://schemas.openxmlformats.org/officeDocument/2006/relationships" r:id="R688d71583bf44479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50" hidden="0" customWidth="1"/>
    <x:col min="4" max="4" width="23" hidden="0" customWidth="1"/>
    <x:col min="5" max="5" width="16" hidden="0" customWidth="1"/>
    <x:col min="6" max="6" width="16" hidden="0" customWidth="1"/>
    <x:col min="7" max="7" width="43" hidden="0" customWidth="1"/>
  </x:cols>
  <x:sheetData>
    <x:row r="1">
      <x:c r="A1" s="109" t="str">
        <x:v>Priority</x:v>
      </x:c>
      <x:c r="B1" s="110" t="str">
        <x:v>CSF Outcome</x:v>
      </x:c>
      <x:c r="C1" s="110" t="str">
        <x:v>Remediation Initiative</x:v>
      </x:c>
      <x:c r="D1" s="110" t="str">
        <x:v>Suggested Owner</x:v>
      </x:c>
      <x:c r="E1" s="110" t="str">
        <x:v>Target Timing</x:v>
      </x:c>
      <x:c r="F1" s="110" t="str">
        <x:v>Status</x:v>
      </x:c>
      <x:c r="G1" s="111" t="str">
        <x:v>Completion Evidence</x:v>
      </x:c>
    </x:row>
    <x:row r="2">
      <x:c r="A2" s="115" t="str">
        <x:v>High</x:v>
      </x:c>
      <x:c r="B2" s="44" t="str">
        <x:v>PR.AA-05</x:v>
      </x:c>
      <x:c r="C2" s="32" t="str">
        <x:v>Establish periodic privileged-access certification and remove unnecessary privileges.</x:v>
      </x:c>
      <x:c r="D2" s="32" t="str">
        <x:v>IT / Security</x:v>
      </x:c>
      <x:c r="E2" s="44" t="str">
        <x:v>Near term</x:v>
      </x:c>
      <x:c r="F2" s="44" t="str">
        <x:v>Not Started</x:v>
      </x:c>
      <x:c r="G2" s="35" t="str">
        <x:v>Completed access review, approvals, revocation records</x:v>
      </x:c>
    </x:row>
    <x:row r="3">
      <x:c r="A3" s="115" t="str">
        <x:v>High</x:v>
      </x:c>
      <x:c r="B3" s="44" t="str">
        <x:v>PR.DS-11</x:v>
      </x:c>
      <x:c r="C3" s="32" t="str">
        <x:v>Implement risk-based backup restoration testing and document results.</x:v>
      </x:c>
      <x:c r="D3" s="32" t="str">
        <x:v>IT Operations</x:v>
      </x:c>
      <x:c r="E3" s="44" t="str">
        <x:v>Near term</x:v>
      </x:c>
      <x:c r="F3" s="44" t="str">
        <x:v>Not Started</x:v>
      </x:c>
      <x:c r="G3" s="35" t="str">
        <x:v>Restoration test results and remediation records</x:v>
      </x:c>
    </x:row>
    <x:row r="4">
      <x:c r="A4" s="115" t="str">
        <x:v>High</x:v>
      </x:c>
      <x:c r="B4" s="44" t="str">
        <x:v>DE.CM-01</x:v>
      </x:c>
      <x:c r="C4" s="32" t="str">
        <x:v>Establish proactive network monitoring, investigation, and escalation procedures.</x:v>
      </x:c>
      <x:c r="D4" s="32" t="str">
        <x:v>IT / Security</x:v>
      </x:c>
      <x:c r="E4" s="44" t="str">
        <x:v>Near term</x:v>
      </x:c>
      <x:c r="F4" s="44" t="str">
        <x:v>Not Started</x:v>
      </x:c>
      <x:c r="G4" s="35" t="str">
        <x:v>Monitoring procedure, alert records, escalation evidence</x:v>
      </x:c>
    </x:row>
    <x:row r="5">
      <x:c r="A5" s="115" t="str">
        <x:v>High</x:v>
      </x:c>
      <x:c r="B5" s="44" t="str">
        <x:v>ID.IM-04</x:v>
      </x:c>
      <x:c r="C5" s="32" t="str">
        <x:v>Exercise and update the incident response plan, contacts, and cloud responsibilities.</x:v>
      </x:c>
      <x:c r="D5" s="32" t="str">
        <x:v>IT / Security</x:v>
      </x:c>
      <x:c r="E5" s="44" t="str">
        <x:v>Near term</x:v>
      </x:c>
      <x:c r="F5" s="44" t="str">
        <x:v>Not Started</x:v>
      </x:c>
      <x:c r="G5" s="35" t="str">
        <x:v>Exercise report, updated plan, lessons learned</x:v>
      </x:c>
    </x:row>
    <x:row r="6">
      <x:c r="A6" s="115" t="str">
        <x:v>High</x:v>
      </x:c>
      <x:c r="B6" s="44" t="str">
        <x:v>ID.RA-01</x:v>
      </x:c>
      <x:c r="C6" s="32" t="str">
        <x:v>Centralize vulnerability tracking and establish risk-based remediation follow-up.</x:v>
      </x:c>
      <x:c r="D6" s="32" t="str">
        <x:v>IT / Security</x:v>
      </x:c>
      <x:c r="E6" s="44" t="str">
        <x:v>Near term</x:v>
      </x:c>
      <x:c r="F6" s="44" t="str">
        <x:v>Not Started</x:v>
      </x:c>
      <x:c r="G6" s="35" t="str">
        <x:v>Vulnerability register, ownership and closure evidence</x:v>
      </x:c>
    </x:row>
    <x:row r="7">
      <x:c r="A7" s="115" t="str">
        <x:v>Medium</x:v>
      </x:c>
      <x:c r="B7" s="44" t="str">
        <x:v>PR.AA-03</x:v>
      </x:c>
      <x:c r="C7" s="32" t="str">
        <x:v>Assess legacy application authentication and strengthen it where warranted.</x:v>
      </x:c>
      <x:c r="D7" s="32" t="str">
        <x:v>Application / IT Owners</x:v>
      </x:c>
      <x:c r="E7" s="44" t="str">
        <x:v>Planned</x:v>
      </x:c>
      <x:c r="F7" s="44" t="str">
        <x:v>Not Started</x:v>
      </x:c>
      <x:c r="G7" s="35" t="str">
        <x:v>Risk assessment, implementation or compensating-control evidence</x:v>
      </x:c>
    </x:row>
    <x:row r="8">
      <x:c r="A8" s="115" t="str">
        <x:v>Medium</x:v>
      </x:c>
      <x:c r="B8" s="44" t="str">
        <x:v>ID.AM-01</x:v>
      </x:c>
      <x:c r="C8" s="32" t="str">
        <x:v>Improve hardware inventory completeness and establish periodic reconciliation.</x:v>
      </x:c>
      <x:c r="D8" s="32" t="str">
        <x:v>IT Operations</x:v>
      </x:c>
      <x:c r="E8" s="44" t="str">
        <x:v>Planned</x:v>
      </x:c>
      <x:c r="F8" s="44" t="str">
        <x:v>Not Started</x:v>
      </x:c>
      <x:c r="G8" s="35" t="str">
        <x:v>Reconciled asset inventory and review evidence</x:v>
      </x:c>
    </x:row>
    <x:row r="9">
      <x:c r="A9" s="116" t="str">
        <x:v>Medium</x:v>
      </x:c>
      <x:c r="B9" s="45" t="str">
        <x:v>GV.PO-02</x:v>
      </x:c>
      <x:c r="C9" s="37" t="str">
        <x:v>Formalize cybersecurity policy review, approval, communication, and evidence retention.</x:v>
      </x:c>
      <x:c r="D9" s="37" t="str">
        <x:v>Management / Security</x:v>
      </x:c>
      <x:c r="E9" s="45" t="str">
        <x:v>Planned</x:v>
      </x:c>
      <x:c r="F9" s="45" t="str">
        <x:v>Not Started</x:v>
      </x:c>
      <x:c r="G9" s="38" t="str">
        <x:v>Updated approved policy and communication evidence</x:v>
      </x:c>
    </x:row>
  </x:sheetData>
  <x:conditionalFormatting sqref="A2:A9">
    <x:cfRule type="expression" dxfId="6" priority="1">
      <x:formula>A2="High"</x:formula>
    </x:cfRule>
    <x:cfRule type="expression" dxfId="7" priority="2">
      <x:formula>A2="Medium"</x:formula>
    </x:cfRule>
  </x:conditionalFormatting>
  <x:dataValidations count="1">
    <x:dataValidation type="list" sqref="F2:F9">
      <x:formula1>"Not Started,In Progress,Complete,Deferred"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ea5b24011a4a3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5" hidden="0" customWidth="1"/>
    <x:col min="3" max="3" width="75" hidden="0" customWidth="1"/>
    <x:col min="4" max="4" width="18" hidden="0" customWidth="1"/>
  </x:cols>
  <x:sheetData>
    <x:row r="1">
      <x:c r="A1" s="56" t="str">
        <x:v>Assessment</x:v>
      </x:c>
      <x:c r="B1" s="57" t="str">
        <x:v>Tier</x:v>
      </x:c>
      <x:c r="C1" s="57" t="str">
        <x:v>Rationale</x:v>
      </x:c>
      <x:c r="D1" s="58" t="str">
        <x:v>Direction</x:v>
      </x:c>
    </x:row>
    <x:row r="2" ht="70" customHeight="1">
      <x:c r="A2" s="119" t="str">
        <x:v>Current Tier</x:v>
      </x:c>
      <x:c r="B2" s="120" t="str">
        <x:v>Tier 2 – Risk Informed</x:v>
      </x:c>
      <x:c r="C2" s="32" t="str">
        <x:v>Cybersecurity practices exist and risk is recognized, but practices are not consistently formalized, reviewed, or implemented across the organization.</x:v>
      </x:c>
      <x:c r="D2" s="35" t="str">
        <x:v>Current state</x:v>
      </x:c>
    </x:row>
    <x:row r="3" ht="70" customHeight="1">
      <x:c r="A3" s="121" t="str">
        <x:v>Target Tier</x:v>
      </x:c>
      <x:c r="B3" s="122" t="str">
        <x:v>Tier 3 – Repeatable</x:v>
      </x:c>
      <x:c r="C3" s="37" t="str">
        <x:v>Policies and processes should become formal, consistently implemented, reviewed, maintained, and supported by repeatable evidence across the organization.</x:v>
      </x:c>
      <x:c r="D3" s="38" t="str">
        <x:v>Desired state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99" t="str">
        <x:v>Assessment Methodology</x:v>
      </x:c>
      <x:c r="B1" s="100" t="str">
        <x:v>Description</x:v>
      </x:c>
    </x:row>
    <x:row r="2" ht="52" customHeight="1">
      <x:c r="A2" s="119" t="str">
        <x:v>Project Type</x:v>
      </x:c>
      <x:c r="B2" s="35" t="str">
        <x:v>Self-directed portfolio project using a fictional organization and simulated evidence.</x:v>
      </x:c>
    </x:row>
    <x:row r="3" ht="52" customHeight="1">
      <x:c r="A3" s="119" t="str">
        <x:v>Assessment Flow</x:v>
      </x:c>
      <x:c r="B3" s="35" t="str">
        <x:v>Evidence → Current State → Gap → Risk → Target State → Recommended Action → Priority</x:v>
      </x:c>
    </x:row>
    <x:row r="4" ht="52" customHeight="1">
      <x:c r="A4" s="119" t="str">
        <x:v>Current State</x:v>
      </x:c>
      <x:c r="B4" s="35" t="str">
        <x:v>What the available evidence shows the organization is currently doing.</x:v>
      </x:c>
    </x:row>
    <x:row r="5" ht="52" customHeight="1">
      <x:c r="A5" s="119" t="str">
        <x:v>Gap</x:v>
      </x:c>
      <x:c r="B5" s="35" t="str">
        <x:v>What is missing or insufficient compared with the desired cybersecurity outcome.</x:v>
      </x:c>
    </x:row>
    <x:row r="6" ht="52" customHeight="1">
      <x:c r="A6" s="119" t="str">
        <x:v>Risk Scenario</x:v>
      </x:c>
      <x:c r="B6" s="35" t="str">
        <x:v>A realistic event or consequence that could arise because of the gap; it should not assume unsupported facts.</x:v>
      </x:c>
    </x:row>
    <x:row r="7" ht="52" customHeight="1">
      <x:c r="A7" s="119" t="str">
        <x:v>Likelihood</x:v>
      </x:c>
      <x:c r="B7" s="35" t="str">
        <x:v>Qualitative estimate (Low / Medium / High) of how plausible the defined risk scenario is, considering exposure, threats, existing controls, and opportunity.</x:v>
      </x:c>
    </x:row>
    <x:row r="8" ht="52" customHeight="1">
      <x:c r="A8" s="119" t="str">
        <x:v>Impact</x:v>
      </x:c>
      <x:c r="B8" s="35" t="str">
        <x:v>Qualitative estimate (Low / Medium / High) of the consequences if the defined risk scenario occurs, considering confidentiality, integrity, availability, operational, financial, regulatory, and reputational effects as supported by context.</x:v>
      </x:c>
    </x:row>
    <x:row r="9" ht="52" customHeight="1">
      <x:c r="A9" s="119" t="str">
        <x:v>Risk Rating</x:v>
      </x:c>
      <x:c r="B9" s="35" t="str">
        <x:v>Qualitative rating used to support prioritization. This project uses a simplified Low / Medium / High approach for learning and portfolio purposes.</x:v>
      </x:c>
    </x:row>
    <x:row r="10" ht="52" customHeight="1">
      <x:c r="A10" s="119" t="str">
        <x:v>Target State</x:v>
      </x:c>
      <x:c r="B10" s="35" t="str">
        <x:v>The desired outcome or condition after remediation; focuses on what should be true rather than prescribing a specific technology.</x:v>
      </x:c>
    </x:row>
    <x:row r="11" ht="52" customHeight="1">
      <x:c r="A11" s="119" t="str">
        <x:v>Recommended Action</x:v>
      </x:c>
      <x:c r="B11" s="35" t="str">
        <x:v>A practical approach for closing the identified gap. Implementation choices should remain appropriate to organizational risk and context.</x:v>
      </x:c>
    </x:row>
    <x:row r="12" ht="52" customHeight="1">
      <x:c r="A12" s="121" t="str">
        <x:v>Important Limitation</x:v>
      </x:c>
      <x:c r="B12" s="38" t="str">
        <x:v>Risk ratings and remediation priorities are based solely on the simulated evidence available in this case study and should not be treated as universal NIST requirements.</x:v>
      </x:c>
    </x:row>
  </x:sheetData>
  <x:pageMargins left="0.7" right="0.7" top="0.75" bottom="0.75" header="0.3" footer="0.3"/>
</x:worksheet>
</file>